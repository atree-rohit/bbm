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45" windowWidth="19815" windowHeight="8640"/>
  </bookViews>
  <sheets>
    <sheet name="Table 1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D37" i="1" l="1"/>
</calcChain>
</file>

<file path=xl/sharedStrings.xml><?xml version="1.0" encoding="utf-8"?>
<sst xmlns="http://schemas.openxmlformats.org/spreadsheetml/2006/main" count="63" uniqueCount="63">
  <si>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</si>
  <si>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</si>
  <si>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</si>
  <si>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</si>
  <si>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</si>
  <si>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</si>
  <si>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</si>
  <si>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</si>
  <si>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</si>
  <si>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</si>
  <si>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</si>
  <si>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</si>
  <si>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</si>
  <si>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</si>
  <si>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</si>
  <si>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</si>
  <si>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t>14/09/2020, 11.35- 12.05</t>
  </si>
  <si>
    <r>
      <rPr>
        <sz val="10"/>
        <rFont val="Calibri"/>
      </rPr>
      <t>Altitude, m</t>
    </r>
  </si>
  <si>
    <t xml:space="preserve">‎3 m </t>
  </si>
  <si>
    <t>Total distance covered on trail, km (approx. estimated)</t>
  </si>
  <si>
    <t>50m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</si>
  <si>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</si>
  <si>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</si>
  <si>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</si>
  <si>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</si>
  <si>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</si>
  <si>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</si>
  <si>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</si>
  <si>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</si>
  <si>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</si>
  <si>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 xml:space="preserve">Rekha Shahane </t>
  </si>
  <si>
    <t xml:space="preserve">n.a. </t>
  </si>
  <si>
    <t>rekhashahane@gmail.com</t>
  </si>
  <si>
    <t>nil</t>
  </si>
  <si>
    <t>iNaturalist</t>
  </si>
  <si>
    <t>partly Sunny</t>
  </si>
  <si>
    <t>Yellow Orange Tip</t>
  </si>
  <si>
    <r>
      <t xml:space="preserve">Ixias pyrene </t>
    </r>
    <r>
      <rPr>
        <sz val="12.1"/>
        <color rgb="FF000000"/>
        <rFont val="Calibri"/>
        <family val="2"/>
        <scheme val="minor"/>
      </rPr>
      <t>(linnaeus)</t>
    </r>
  </si>
  <si>
    <t>Psyche</t>
  </si>
  <si>
    <r>
      <t xml:space="preserve">Leptosia nina </t>
    </r>
    <r>
      <rPr>
        <sz val="12.1"/>
        <color rgb="FF000000"/>
        <rFont val="Calibri"/>
        <family val="2"/>
        <scheme val="minor"/>
      </rPr>
      <t>(Fabricius)</t>
    </r>
  </si>
  <si>
    <r>
      <t xml:space="preserve">Eurema species </t>
    </r>
    <r>
      <rPr>
        <sz val="12.1"/>
        <rFont val="Calibri"/>
        <family val="2"/>
        <scheme val="minor"/>
      </rPr>
      <t xml:space="preserve"> </t>
    </r>
  </si>
  <si>
    <t>Red Pierrot</t>
  </si>
  <si>
    <r>
      <t xml:space="preserve">Talicada nyseus </t>
    </r>
    <r>
      <rPr>
        <sz val="12.1"/>
        <color theme="1"/>
        <rFont val="Calibri"/>
        <family val="2"/>
        <scheme val="minor"/>
      </rPr>
      <t>(Guérin-Ménéville)</t>
    </r>
  </si>
  <si>
    <r>
      <t xml:space="preserve">Euploea core </t>
    </r>
    <r>
      <rPr>
        <sz val="12.1"/>
        <color rgb="FF000000"/>
        <rFont val="Calibri"/>
        <family val="2"/>
        <scheme val="minor"/>
      </rPr>
      <t>(Cramer)</t>
    </r>
  </si>
  <si>
    <t>Chocolate Pansy</t>
  </si>
  <si>
    <t>Great Eggfly</t>
  </si>
  <si>
    <t>Blue Mormon</t>
  </si>
  <si>
    <t xml:space="preserve">in flight so no photo </t>
  </si>
  <si>
    <t>Grass Yellow</t>
  </si>
  <si>
    <t>not clicked today</t>
  </si>
  <si>
    <t>in flight sp not confirmed no photo</t>
  </si>
  <si>
    <t>no photo</t>
  </si>
  <si>
    <t xml:space="preserve">in fast flight no photo </t>
  </si>
  <si>
    <t>Plain Tiger</t>
  </si>
  <si>
    <t>Crow</t>
  </si>
  <si>
    <t>Record shot</t>
  </si>
  <si>
    <t>record shot</t>
  </si>
  <si>
    <t xml:space="preserve"> Malad (East) Mumbai Maharashtra</t>
  </si>
  <si>
    <r>
      <t xml:space="preserve">Papilio polymnestor </t>
    </r>
    <r>
      <rPr>
        <sz val="12.1"/>
        <color rgb="FF000000"/>
        <rFont val="Calibri"/>
        <family val="2"/>
        <scheme val="minor"/>
      </rPr>
      <t>Cramer</t>
    </r>
  </si>
  <si>
    <r>
      <t xml:space="preserve">Hypolimnas bolina </t>
    </r>
    <r>
      <rPr>
        <sz val="12.1"/>
        <color rgb="FF000000"/>
        <rFont val="Calibri"/>
        <family val="2"/>
        <scheme val="minor"/>
      </rPr>
      <t>(Linnaeus)</t>
    </r>
  </si>
  <si>
    <r>
      <t xml:space="preserve">Junonia iphita </t>
    </r>
    <r>
      <rPr>
        <sz val="12.1"/>
        <color rgb="FF000000"/>
        <rFont val="Calibri"/>
        <family val="2"/>
        <scheme val="minor"/>
      </rPr>
      <t>(Cramer)</t>
    </r>
  </si>
  <si>
    <r>
      <t xml:space="preserve">Danaus chrysippus </t>
    </r>
    <r>
      <rPr>
        <sz val="12.1"/>
        <color rgb="FF000000"/>
        <rFont val="Calibri"/>
        <family val="2"/>
        <scheme val="minor"/>
      </rPr>
      <t>(Linnaeus)</t>
    </r>
  </si>
  <si>
    <t xml:space="preserve">9°36'12.6"N 76°30'59.8"E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</si>
</sst>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rgb="FF000000"/>
      <name val="Calibri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  <font>
      <sz val="12.1"/>
      <color rgb="FF000000"/>
      <name val="Calibri"/>
      <family val="2"/>
      <scheme val="minor"/>
    </font>
    <font>
      <i/>
      <sz val="12.1"/>
      <color rgb="FF000000"/>
      <name val="Calibri"/>
      <family val="2"/>
      <scheme val="minor"/>
    </font>
    <font>
      <i/>
      <sz val="12.1"/>
      <name val="Calibri"/>
      <family val="2"/>
      <scheme val="minor"/>
    </font>
    <font>
      <sz val="12.1"/>
      <name val="Calibri"/>
      <family val="2"/>
      <scheme val="minor"/>
    </font>
    <font>
      <i/>
      <sz val="12.1"/>
      <color theme="1"/>
      <name val="Calibri"/>
      <family val="2"/>
      <scheme val="minor"/>
    </font>
    <font>
      <sz val="12.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3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1" fillId="0" borderId="21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0" fillId="0" borderId="21" xfId="0" applyBorder="1"/>
    <xf numFmtId="0" fontId="13" fillId="0" borderId="21" xfId="0" applyFont="1" applyBorder="1" applyAlignment="1">
      <alignment horizontal="left"/>
    </xf>
    <xf numFmtId="0" fontId="11" fillId="0" borderId="21" xfId="0" applyFont="1" applyBorder="1" applyAlignment="1"/>
    <xf numFmtId="0" fontId="15" fillId="0" borderId="21" xfId="0" applyFont="1" applyBorder="1" applyAlignment="1"/>
    <xf numFmtId="0" fontId="12" fillId="0" borderId="21" xfId="0" applyFont="1" applyBorder="1" applyAlignment="1"/>
    <xf numFmtId="0" fontId="11" fillId="0" borderId="22" xfId="0" applyFont="1" applyBorder="1" applyAlignment="1"/>
    <xf numFmtId="0" fontId="12" fillId="0" borderId="22" xfId="0" applyFont="1" applyBorder="1" applyAlignment="1"/>
    <xf numFmtId="0" fontId="0" fillId="0" borderId="22" xfId="0" applyBorder="1"/>
    <xf numFmtId="0" fontId="0" fillId="4" borderId="23" xfId="0" applyFill="1" applyBorder="1"/>
    <xf numFmtId="0" fontId="0" fillId="4" borderId="24" xfId="0" applyFill="1" applyBorder="1"/>
    <xf numFmtId="0" fontId="0" fillId="4" borderId="26" xfId="0" applyFill="1" applyBorder="1"/>
    <xf numFmtId="0" fontId="1" fillId="0" borderId="27" xfId="0" applyFont="1" applyBorder="1" applyAlignment="1">
      <alignment horizontal="left" wrapText="1"/>
    </xf>
    <xf numFmtId="0" fontId="1" fillId="0" borderId="25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khashaha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6"/>
  <sheetViews>
    <sheetView showGridLines="0" tabSelected="1" topLeftCell="A10" workbookViewId="0">
      <selection activeCell="C19" sqref="C19:E19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43.1640625" customWidth="1"/>
    <col min="4" max="4" width="19.1640625" customWidth="1"/>
    <col min="5" max="5" width="59.832031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48" t="s">
        <v>0</v>
      </c>
      <c r="B6" s="36"/>
      <c r="C6" s="36"/>
      <c r="D6" s="36"/>
      <c r="E6" s="3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50" t="s">
        <v>1</v>
      </c>
      <c r="B7" s="51"/>
      <c r="C7" s="51"/>
      <c r="D7" s="51"/>
      <c r="E7" s="5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38" t="s">
        <v>2</v>
      </c>
      <c r="B8" s="39"/>
      <c r="C8" s="47"/>
      <c r="D8" s="33" t="s">
        <v>3</v>
      </c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35" t="s">
        <v>4</v>
      </c>
      <c r="B9" s="36"/>
      <c r="C9" s="36"/>
      <c r="D9" s="36"/>
      <c r="E9" s="3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38" t="s">
        <v>5</v>
      </c>
      <c r="B10" s="39"/>
      <c r="C10" s="39"/>
      <c r="D10" s="33" t="s">
        <v>6</v>
      </c>
      <c r="E10" s="3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46" t="s">
        <v>7</v>
      </c>
      <c r="B12" s="39"/>
      <c r="C12" s="41" t="s">
        <v>30</v>
      </c>
      <c r="D12" s="39"/>
      <c r="E12" s="3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6" t="s">
        <v>8</v>
      </c>
      <c r="B13" s="47"/>
      <c r="C13" s="41" t="s">
        <v>31</v>
      </c>
      <c r="D13" s="39"/>
      <c r="E13" s="3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46" t="s">
        <v>9</v>
      </c>
      <c r="B14" s="39"/>
      <c r="C14" s="41">
        <v>9029004770</v>
      </c>
      <c r="D14" s="39"/>
      <c r="E14" s="3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46" t="s">
        <v>10</v>
      </c>
      <c r="B15" s="39"/>
      <c r="C15" s="42" t="s">
        <v>32</v>
      </c>
      <c r="D15" s="39"/>
      <c r="E15" s="3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46" t="s">
        <v>11</v>
      </c>
      <c r="B16" s="39"/>
      <c r="C16" s="41" t="s">
        <v>33</v>
      </c>
      <c r="D16" s="39"/>
      <c r="E16" s="3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46" t="s">
        <v>12</v>
      </c>
      <c r="B17" s="39"/>
      <c r="C17" s="41" t="s">
        <v>34</v>
      </c>
      <c r="D17" s="39"/>
      <c r="E17" s="3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46" t="s">
        <v>13</v>
      </c>
      <c r="B18" s="47"/>
      <c r="C18" s="49" t="s">
        <v>57</v>
      </c>
      <c r="D18" s="39"/>
      <c r="E18" s="4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46" t="s">
        <v>14</v>
      </c>
      <c r="B19" s="47"/>
      <c r="C19" s="41" t="s">
        <v>62</v>
      </c>
      <c r="D19" s="39"/>
      <c r="E19" s="3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46" t="s">
        <v>15</v>
      </c>
      <c r="B20" s="47"/>
      <c r="C20" s="41" t="s">
        <v>16</v>
      </c>
      <c r="D20" s="39"/>
      <c r="E20" s="3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46" t="s">
        <v>17</v>
      </c>
      <c r="B21" s="47"/>
      <c r="C21" s="7" t="s">
        <v>18</v>
      </c>
      <c r="D21" s="8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46" t="s">
        <v>19</v>
      </c>
      <c r="B22" s="47"/>
      <c r="C22" s="41" t="s">
        <v>20</v>
      </c>
      <c r="D22" s="39"/>
      <c r="E22" s="34"/>
      <c r="F22" s="40"/>
      <c r="G22" s="3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46" t="s">
        <v>21</v>
      </c>
      <c r="B23" s="47"/>
      <c r="C23" s="41" t="s">
        <v>35</v>
      </c>
      <c r="D23" s="39"/>
      <c r="E23" s="3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46" t="s">
        <v>22</v>
      </c>
      <c r="B24" s="47"/>
      <c r="C24" s="41"/>
      <c r="D24" s="39"/>
      <c r="E24" s="3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3" t="s">
        <v>23</v>
      </c>
      <c r="B25" s="44"/>
      <c r="C25" s="45"/>
      <c r="D25" s="33" t="s">
        <v>24</v>
      </c>
      <c r="E25" s="3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25</v>
      </c>
      <c r="B27" s="14" t="s">
        <v>26</v>
      </c>
      <c r="C27" s="14" t="s">
        <v>27</v>
      </c>
      <c r="D27" s="14" t="s">
        <v>28</v>
      </c>
      <c r="E27" s="15" t="s">
        <v>29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5">
      <c r="A28" s="16">
        <v>1</v>
      </c>
      <c r="B28" s="18" t="s">
        <v>36</v>
      </c>
      <c r="C28" s="19" t="s">
        <v>37</v>
      </c>
      <c r="D28" s="20">
        <v>1</v>
      </c>
      <c r="E28" s="20" t="s">
        <v>47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 x14ac:dyDescent="0.25">
      <c r="A29" s="17">
        <v>2</v>
      </c>
      <c r="B29" s="18" t="s">
        <v>38</v>
      </c>
      <c r="C29" s="19" t="s">
        <v>39</v>
      </c>
      <c r="D29" s="20">
        <v>6</v>
      </c>
      <c r="E29" s="20" t="s">
        <v>49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3.5" customHeight="1" x14ac:dyDescent="0.25">
      <c r="A30" s="17">
        <v>3</v>
      </c>
      <c r="B30" s="18" t="s">
        <v>48</v>
      </c>
      <c r="C30" s="21" t="s">
        <v>40</v>
      </c>
      <c r="D30" s="20">
        <v>3</v>
      </c>
      <c r="E30" s="20" t="s">
        <v>50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 x14ac:dyDescent="0.25">
      <c r="A31" s="16">
        <v>4</v>
      </c>
      <c r="B31" s="22" t="s">
        <v>41</v>
      </c>
      <c r="C31" s="23" t="s">
        <v>42</v>
      </c>
      <c r="D31" s="20">
        <v>2</v>
      </c>
      <c r="E31" s="20" t="s">
        <v>51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4.25" customHeight="1" x14ac:dyDescent="0.25">
      <c r="A32" s="17">
        <v>5</v>
      </c>
      <c r="B32" s="22" t="s">
        <v>53</v>
      </c>
      <c r="C32" s="24" t="s">
        <v>61</v>
      </c>
      <c r="D32" s="20">
        <v>1</v>
      </c>
      <c r="E32" s="20" t="s">
        <v>56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4.25" customHeight="1" x14ac:dyDescent="0.25">
      <c r="A33" s="17">
        <v>6</v>
      </c>
      <c r="B33" s="22" t="s">
        <v>54</v>
      </c>
      <c r="C33" s="24" t="s">
        <v>43</v>
      </c>
      <c r="D33" s="20">
        <v>1</v>
      </c>
      <c r="E33" s="20" t="s">
        <v>55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4.25" customHeight="1" x14ac:dyDescent="0.25">
      <c r="A34" s="16">
        <v>7</v>
      </c>
      <c r="B34" s="22" t="s">
        <v>44</v>
      </c>
      <c r="C34" s="24" t="s">
        <v>60</v>
      </c>
      <c r="D34" s="20">
        <v>1</v>
      </c>
      <c r="E34" s="2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5">
      <c r="A35" s="17">
        <v>8</v>
      </c>
      <c r="B35" s="22" t="s">
        <v>45</v>
      </c>
      <c r="C35" s="24" t="s">
        <v>59</v>
      </c>
      <c r="D35" s="20">
        <v>1</v>
      </c>
      <c r="E35" s="20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thickBot="1" x14ac:dyDescent="0.3">
      <c r="A36" s="31">
        <v>9</v>
      </c>
      <c r="B36" s="25" t="s">
        <v>46</v>
      </c>
      <c r="C36" s="26" t="s">
        <v>58</v>
      </c>
      <c r="D36" s="27">
        <v>1</v>
      </c>
      <c r="E36" s="27" t="s">
        <v>52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thickBot="1" x14ac:dyDescent="0.25">
      <c r="A37" s="32"/>
      <c r="B37" s="30"/>
      <c r="C37" s="28"/>
      <c r="D37" s="28">
        <f>SUM(D28:D36)</f>
        <v>17</v>
      </c>
      <c r="E37" s="2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</sheetData>
  <mergeCells count="35"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D8:E8"/>
    <mergeCell ref="A9:E9"/>
    <mergeCell ref="A10:C10"/>
    <mergeCell ref="D10:E10"/>
    <mergeCell ref="F22:G22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2020-09-25T13:52:18Z</dcterms:modified>
</cp:coreProperties>
</file>